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hrs&quot;"/>
  </numFmts>
  <fonts count="11"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color rgb="FF2E75B6"/>
      <sz val="12"/>
    </font>
    <font>
      <name val="Arial"/>
      <b val="1"/>
      <color rgb="FFFFFFFF"/>
      <sz val="11"/>
    </font>
    <font>
      <name val="Arial"/>
      <b val="1"/>
      <color rgb="FF000000"/>
      <sz val="11"/>
    </font>
    <font>
      <name val="Arial"/>
      <color rgb="FF000000"/>
      <sz val="11"/>
    </font>
    <font>
      <name val="Calibri"/>
      <color theme="1"/>
      <sz val="11"/>
    </font>
    <font>
      <name val="Arial"/>
      <b val="1"/>
      <color rgb="FF1F3864"/>
      <sz val="13"/>
    </font>
    <font/>
    <font>
      <name val="Arial"/>
      <i val="1"/>
      <color rgb="FF000000"/>
      <sz val="11"/>
    </font>
    <font>
      <name val="Arial"/>
      <i val="1"/>
      <color rgb="FF999999"/>
      <sz val="11"/>
    </font>
  </fonts>
  <fills count="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A"/>
        <bgColor rgb="FFEBF3FA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5F5F5"/>
        <bgColor rgb="FFF5F5F5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top"/>
    </xf>
    <xf numFmtId="2" fontId="6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center" vertical="top"/>
    </xf>
    <xf numFmtId="2" fontId="6" fillId="4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2" fontId="3" fillId="2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8" fillId="0" borderId="3" pivotButton="0" quotePrefix="0" xfId="0"/>
    <xf numFmtId="0" fontId="8" fillId="0" borderId="4" pivotButton="0" quotePrefix="0" xfId="0"/>
    <xf numFmtId="0" fontId="5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left" vertical="top"/>
    </xf>
    <xf numFmtId="2" fontId="5" fillId="0" borderId="1" applyAlignment="1" pivotButton="0" quotePrefix="0" xfId="0">
      <alignment horizontal="left" vertical="top"/>
    </xf>
    <xf numFmtId="0" fontId="3" fillId="5" borderId="2" applyAlignment="1" pivotButton="0" quotePrefix="0" xfId="0">
      <alignment horizontal="right" vertical="top"/>
    </xf>
    <xf numFmtId="0" fontId="3" fillId="5" borderId="2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164" fontId="3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10" fillId="4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left" vertical="top"/>
    </xf>
    <xf numFmtId="0" fontId="0" fillId="0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0" borderId="3" pivotButton="0" quotePrefix="0" xfId="0"/>
    <xf numFmtId="0" fontId="3" fillId="5" borderId="5" applyAlignment="1" pivotButton="0" quotePrefix="0" xfId="0">
      <alignment horizontal="right" vertical="top"/>
    </xf>
    <xf numFmtId="2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/>
    </xf>
    <xf numFmtId="2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/>
    </xf>
    <xf numFmtId="0" fontId="3" fillId="5" borderId="5" applyAlignment="1" pivotButton="0" quotePrefix="0" xfId="0">
      <alignment horizontal="right"/>
    </xf>
    <xf numFmtId="0" fontId="3" fillId="5" borderId="2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 defaultTableStyle="TableStyleMedium9" defaultPivotStyle="PivotStyleLight16">
    <tableStyle name="Detail-style" pivot="0" count="2">
      <tableStyleElement type="firstRowStripe" dxfId="1"/>
      <tableStyleElement type="secondRowStripe" dxfId="2"/>
    </tableStyle>
    <tableStyle name="Detail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4:G1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etail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1:G3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etail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7" min="1" max="1"/>
    <col width="32" customWidth="1" style="37" min="2" max="2"/>
    <col width="14" customWidth="1" style="37" min="3" max="4"/>
    <col width="16" customWidth="1" style="37" min="5" max="6"/>
    <col width="8.710000000000001" customWidth="1" style="37" min="7" max="26"/>
  </cols>
  <sheetData>
    <row r="1">
      <c r="A1" s="1" t="inlineStr">
        <is>
          <t>RIIPEN CAREER CATALYST</t>
        </is>
      </c>
    </row>
    <row r="2">
      <c r="A2" s="2" t="inlineStr">
        <is>
          <t>Weekly Time Allocation — Summary</t>
        </is>
      </c>
    </row>
    <row r="4">
      <c r="A4" s="15" t="inlineStr">
        <is>
          <t>Week</t>
        </is>
      </c>
      <c r="B4" s="15" t="inlineStr">
        <is>
          <t>Title</t>
        </is>
      </c>
      <c r="C4" s="15" t="inlineStr">
        <is>
          <t>Total (min)</t>
        </is>
      </c>
      <c r="D4" s="15" t="inlineStr">
        <is>
          <t>Total (hrs)</t>
        </is>
      </c>
      <c r="E4" s="15" t="inlineStr">
        <is>
          <t>Cumulative (hrs)</t>
        </is>
      </c>
      <c r="F4" s="15" t="inlineStr">
        <is>
          <t>Gap to 135 hrs</t>
        </is>
      </c>
    </row>
    <row r="5">
      <c r="A5" s="4" t="n">
        <v>1</v>
      </c>
      <c r="B5" s="5" t="inlineStr">
        <is>
          <t>Getting Started</t>
        </is>
      </c>
      <c r="C5" s="6">
        <f>Detail!F18</f>
        <v/>
      </c>
      <c r="D5" s="7">
        <f>C5/60</f>
        <v/>
      </c>
      <c r="E5" s="7">
        <f>D5</f>
        <v/>
      </c>
      <c r="F5" s="7">
        <f>135-E5</f>
        <v/>
      </c>
    </row>
    <row r="6">
      <c r="A6" s="8" t="n">
        <v>2</v>
      </c>
      <c r="B6" s="9" t="inlineStr">
        <is>
          <t>Building Your Team</t>
        </is>
      </c>
      <c r="C6" s="10">
        <f>Detail!F35</f>
        <v/>
      </c>
      <c r="D6" s="11">
        <f>C6/60</f>
        <v/>
      </c>
      <c r="E6" s="11">
        <f>E5+D6</f>
        <v/>
      </c>
      <c r="F6" s="11">
        <f>135-E6</f>
        <v/>
      </c>
    </row>
    <row r="7">
      <c r="A7" s="4" t="n">
        <v>3</v>
      </c>
      <c r="B7" s="5" t="inlineStr">
        <is>
          <t>Understanding Your Client</t>
        </is>
      </c>
      <c r="C7" s="6">
        <f>Detail!F41</f>
        <v/>
      </c>
      <c r="D7" s="7">
        <f>C7/60</f>
        <v/>
      </c>
      <c r="E7" s="7">
        <f>E6+D7</f>
        <v/>
      </c>
      <c r="F7" s="7">
        <f>135-E7</f>
        <v/>
      </c>
    </row>
    <row r="8">
      <c r="A8" s="8" t="n">
        <v>4</v>
      </c>
      <c r="B8" s="9" t="inlineStr">
        <is>
          <t>From Research to Strategy</t>
        </is>
      </c>
      <c r="C8" s="10">
        <f>Detail!F47</f>
        <v/>
      </c>
      <c r="D8" s="11">
        <f>C8/60</f>
        <v/>
      </c>
      <c r="E8" s="11">
        <f>E7+D8</f>
        <v/>
      </c>
      <c r="F8" s="11">
        <f>135-E8</f>
        <v/>
      </c>
    </row>
    <row r="9">
      <c r="A9" s="4" t="n">
        <v>5</v>
      </c>
      <c r="B9" s="5" t="inlineStr">
        <is>
          <t>Professional Communication</t>
        </is>
      </c>
      <c r="C9" s="6">
        <f>Detail!F53</f>
        <v/>
      </c>
      <c r="D9" s="7">
        <f>C9/60</f>
        <v/>
      </c>
      <c r="E9" s="7">
        <f>E8+D9</f>
        <v/>
      </c>
      <c r="F9" s="7">
        <f>135-E9</f>
        <v/>
      </c>
    </row>
    <row r="10">
      <c r="A10" s="8" t="n">
        <v>6</v>
      </c>
      <c r="B10" s="9" t="inlineStr">
        <is>
          <t>Working Through Ambiguity</t>
        </is>
      </c>
      <c r="C10" s="10">
        <f>Detail!F59</f>
        <v/>
      </c>
      <c r="D10" s="11">
        <f>C10/60</f>
        <v/>
      </c>
      <c r="E10" s="11">
        <f>E9+D10</f>
        <v/>
      </c>
      <c r="F10" s="11">
        <f>135-E10</f>
        <v/>
      </c>
    </row>
    <row r="11">
      <c r="A11" s="4" t="n">
        <v>7</v>
      </c>
      <c r="B11" s="5" t="inlineStr">
        <is>
          <t>Progress Review</t>
        </is>
      </c>
      <c r="C11" s="6">
        <f>Detail!F65</f>
        <v/>
      </c>
      <c r="D11" s="7">
        <f>C11/60</f>
        <v/>
      </c>
      <c r="E11" s="7">
        <f>E10+D11</f>
        <v/>
      </c>
      <c r="F11" s="7">
        <f>135-E11</f>
        <v/>
      </c>
    </row>
    <row r="12">
      <c r="A12" s="8" t="n">
        <v>8</v>
      </c>
      <c r="B12" s="9" t="inlineStr">
        <is>
          <t>Making Feedback Useful</t>
        </is>
      </c>
      <c r="C12" s="10">
        <f>Detail!F71</f>
        <v/>
      </c>
      <c r="D12" s="11">
        <f>C12/60</f>
        <v/>
      </c>
      <c r="E12" s="11">
        <f>E11+D12</f>
        <v/>
      </c>
      <c r="F12" s="11">
        <f>135-E12</f>
        <v/>
      </c>
    </row>
    <row r="13">
      <c r="A13" s="4" t="n">
        <v>9</v>
      </c>
      <c r="B13" s="5" t="inlineStr">
        <is>
          <t>Teamwork Under Pressure</t>
        </is>
      </c>
      <c r="C13" s="6">
        <f>Detail!F77</f>
        <v/>
      </c>
      <c r="D13" s="7">
        <f>C13/60</f>
        <v/>
      </c>
      <c r="E13" s="7">
        <f>E12+D13</f>
        <v/>
      </c>
      <c r="F13" s="7">
        <f>135-E13</f>
        <v/>
      </c>
    </row>
    <row r="14">
      <c r="A14" s="8" t="n">
        <v>10</v>
      </c>
      <c r="B14" s="9" t="inlineStr">
        <is>
          <t>Connecting Theory &amp; Practice</t>
        </is>
      </c>
      <c r="C14" s="10">
        <f>Detail!F83</f>
        <v/>
      </c>
      <c r="D14" s="11">
        <f>C14/60</f>
        <v/>
      </c>
      <c r="E14" s="11">
        <f>E13+D14</f>
        <v/>
      </c>
      <c r="F14" s="11">
        <f>135-E14</f>
        <v/>
      </c>
    </row>
    <row r="15">
      <c r="A15" s="4" t="n">
        <v>11</v>
      </c>
      <c r="B15" s="5" t="inlineStr">
        <is>
          <t>Quality and Craft</t>
        </is>
      </c>
      <c r="C15" s="6">
        <f>Detail!F89</f>
        <v/>
      </c>
      <c r="D15" s="7">
        <f>C15/60</f>
        <v/>
      </c>
      <c r="E15" s="7">
        <f>E14+D15</f>
        <v/>
      </c>
      <c r="F15" s="7">
        <f>135-E15</f>
        <v/>
      </c>
    </row>
    <row r="16">
      <c r="A16" s="8" t="n">
        <v>12</v>
      </c>
      <c r="B16" s="9" t="inlineStr">
        <is>
          <t>From Feedback to Final</t>
        </is>
      </c>
      <c r="C16" s="10">
        <f>Detail!F95</f>
        <v/>
      </c>
      <c r="D16" s="11">
        <f>C16/60</f>
        <v/>
      </c>
      <c r="E16" s="11">
        <f>E15+D16</f>
        <v/>
      </c>
      <c r="F16" s="11">
        <f>135-E16</f>
        <v/>
      </c>
    </row>
    <row r="17">
      <c r="A17" s="4" t="n">
        <v>13</v>
      </c>
      <c r="B17" s="5" t="inlineStr">
        <is>
          <t>Finalizing Deliverables</t>
        </is>
      </c>
      <c r="C17" s="6">
        <f>Detail!F101</f>
        <v/>
      </c>
      <c r="D17" s="7">
        <f>C17/60</f>
        <v/>
      </c>
      <c r="E17" s="7">
        <f>E16+D17</f>
        <v/>
      </c>
      <c r="F17" s="7">
        <f>135-E17</f>
        <v/>
      </c>
    </row>
    <row r="18">
      <c r="A18" s="8" t="n">
        <v>14</v>
      </c>
      <c r="B18" s="9" t="inlineStr">
        <is>
          <t>Presenting Your Work</t>
        </is>
      </c>
      <c r="C18" s="10">
        <f>Detail!F107</f>
        <v/>
      </c>
      <c r="D18" s="11">
        <f>C18/60</f>
        <v/>
      </c>
      <c r="E18" s="11">
        <f>E17+D18</f>
        <v/>
      </c>
      <c r="F18" s="11">
        <f>135-E18</f>
        <v/>
      </c>
    </row>
    <row r="19">
      <c r="A19" s="4" t="n">
        <v>15</v>
      </c>
      <c r="B19" s="5" t="inlineStr">
        <is>
          <t>Transfer and What's Next</t>
        </is>
      </c>
      <c r="C19" s="6">
        <f>Detail!F113</f>
        <v/>
      </c>
      <c r="D19" s="7">
        <f>C19/60</f>
        <v/>
      </c>
      <c r="E19" s="7">
        <f>E18+D19</f>
        <v/>
      </c>
      <c r="F19" s="7">
        <f>135-E19</f>
        <v/>
      </c>
    </row>
    <row r="20">
      <c r="A20" s="12" t="inlineStr">
        <is>
          <t>TOTAL</t>
        </is>
      </c>
      <c r="B20" s="12" t="n"/>
      <c r="C20" s="12">
        <f>SUM(C5:C19)</f>
        <v/>
      </c>
      <c r="D20" s="13">
        <f>SUM(D5:D19)</f>
        <v/>
      </c>
      <c r="E20" s="12" t="inlineStr">
        <is>
          <t>135 target</t>
        </is>
      </c>
      <c r="F20" s="13">
        <f>135-D20</f>
        <v/>
      </c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">
    <mergeCell ref="A2:F2"/>
    <mergeCell ref="A1:F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Row="1"/>
  <cols>
    <col width="7" customWidth="1" style="37" min="1" max="1"/>
    <col width="26.57" customWidth="1" style="37" min="2" max="2"/>
    <col width="36" customWidth="1" style="37" min="3" max="3"/>
    <col width="14" customWidth="1" style="37" min="4" max="4"/>
    <col width="10" customWidth="1" style="37" min="5" max="6"/>
    <col width="79.14" customWidth="1" style="37" min="7" max="7"/>
    <col width="8.710000000000001" customWidth="1" style="37" min="8" max="27"/>
  </cols>
  <sheetData>
    <row r="1">
      <c r="A1" s="14" t="inlineStr">
        <is>
          <t>RIIPEN CAREER CATALYST — Weekly Activity Breakdown (All Weeks)</t>
        </is>
      </c>
    </row>
    <row r="2">
      <c r="A2" s="15" t="inlineStr">
        <is>
          <t>Week</t>
        </is>
      </c>
      <c r="B2" s="15" t="inlineStr">
        <is>
          <t>Phase</t>
        </is>
      </c>
      <c r="C2" s="15" t="inlineStr">
        <is>
          <t>Activity</t>
        </is>
      </c>
      <c r="D2" s="15" t="inlineStr">
        <is>
          <t>Category</t>
        </is>
      </c>
      <c r="E2" s="15" t="inlineStr">
        <is>
          <t>Format</t>
        </is>
      </c>
      <c r="F2" s="15" t="inlineStr">
        <is>
          <t>Time (min)</t>
        </is>
      </c>
      <c r="G2" s="15" t="inlineStr">
        <is>
          <t>Note</t>
        </is>
      </c>
    </row>
    <row r="3" ht="19.5" customHeight="1" s="37">
      <c r="A3" s="38" t="inlineStr">
        <is>
          <t>WEEK 1 — GETTING STARTED   |   Foundation</t>
        </is>
      </c>
      <c r="B3" s="39" t="n"/>
      <c r="C3" s="39" t="n"/>
      <c r="D3" s="39" t="n"/>
      <c r="E3" s="39" t="n"/>
      <c r="F3" s="39" t="n"/>
      <c r="G3" s="39" t="n"/>
    </row>
    <row r="4" outlineLevel="1" ht="30" customHeight="1" s="37">
      <c r="A4" s="19" t="n">
        <v>1.01</v>
      </c>
      <c r="B4" s="19" t="inlineStr">
        <is>
          <t>Course Orientation</t>
        </is>
      </c>
      <c r="C4" s="20" t="inlineStr">
        <is>
          <t>Welcome to Career Catalyst Week 1</t>
        </is>
      </c>
      <c r="D4" s="28" t="inlineStr">
        <is>
          <t>Module</t>
        </is>
      </c>
      <c r="E4" s="22" t="inlineStr">
        <is>
          <t>Text</t>
        </is>
      </c>
      <c r="F4" s="22" t="n">
        <v>5</v>
      </c>
      <c r="G4" s="20" t="inlineStr">
        <is>
          <t>Provides an overview of what will be covered this week, objectives, suggested order of completion and time estimates.</t>
        </is>
      </c>
    </row>
    <row r="5" outlineLevel="1" ht="30" customHeight="1" s="37">
      <c r="A5" s="23" t="n">
        <v>1.02</v>
      </c>
      <c r="B5" s="19" t="inlineStr">
        <is>
          <t>Course Orientation</t>
        </is>
      </c>
      <c r="C5" s="26" t="inlineStr">
        <is>
          <t>What Is Experiential Learning?</t>
        </is>
      </c>
      <c r="D5" s="28" t="inlineStr">
        <is>
          <t>Module</t>
        </is>
      </c>
      <c r="E5" s="27" t="n"/>
      <c r="F5" s="27" t="n">
        <v>15</v>
      </c>
      <c r="G5" s="26" t="inlineStr">
        <is>
          <t>Frames the learning cycle and sets expectations for how this course differs from traditional coursework</t>
        </is>
      </c>
    </row>
    <row r="6" outlineLevel="1" ht="30" customHeight="1" s="37">
      <c r="A6" s="19" t="n">
        <v>1.03</v>
      </c>
      <c r="B6" s="19" t="inlineStr">
        <is>
          <t>Course Orientation</t>
        </is>
      </c>
      <c r="C6" s="26" t="inlineStr">
        <is>
          <t>Syllabus and assessment review</t>
        </is>
      </c>
      <c r="D6" s="28" t="inlineStr">
        <is>
          <t>Admin</t>
        </is>
      </c>
      <c r="E6" s="27" t="n"/>
      <c r="F6" s="27" t="n">
        <v>30</v>
      </c>
      <c r="G6" s="26" t="inlineStr">
        <is>
          <t xml:space="preserve">Foundational for academic integrity and student planning. Students look ahead to what is expected and how they will be assessed in the course. </t>
        </is>
      </c>
    </row>
    <row r="7" outlineLevel="1" ht="30" customHeight="1" s="37">
      <c r="A7" s="23" t="n">
        <v>1.04</v>
      </c>
      <c r="B7" s="19" t="inlineStr">
        <is>
          <t>Course Orientation</t>
        </is>
      </c>
      <c r="C7" s="26" t="inlineStr">
        <is>
          <t>AI in the Today's Workplace &amp; This Course</t>
        </is>
      </c>
      <c r="D7" s="28" t="inlineStr">
        <is>
          <t>Module</t>
        </is>
      </c>
      <c r="E7" s="27" t="n"/>
      <c r="F7" s="27" t="n">
        <v>30</v>
      </c>
      <c r="G7" s="26" t="inlineStr">
        <is>
          <t>Introduces the AI-enabled workplace context and ties it to the course's policy orientation: what's permitted, what requires disclosure, the defend-your-work standard</t>
        </is>
      </c>
    </row>
    <row r="8" outlineLevel="1" ht="30" customHeight="1" s="37">
      <c r="A8" s="19" t="n">
        <v>1.05</v>
      </c>
      <c r="B8" s="19" t="inlineStr">
        <is>
          <t>Course Orientation</t>
        </is>
      </c>
      <c r="C8" s="26" t="inlineStr">
        <is>
          <t>Your Project and Team</t>
        </is>
      </c>
      <c r="D8" s="28" t="inlineStr">
        <is>
          <t>Module</t>
        </is>
      </c>
      <c r="E8" s="27" t="n"/>
      <c r="F8" s="27" t="n">
        <v>30</v>
      </c>
      <c r="G8" s="26" t="inlineStr">
        <is>
          <t>Orients students to the project-based structure and how they will be expected to work in teams</t>
        </is>
      </c>
    </row>
    <row r="9" outlineLevel="1" ht="30" customHeight="1" s="37">
      <c r="A9" s="23" t="n">
        <v>1.06</v>
      </c>
      <c r="B9" s="19" t="inlineStr">
        <is>
          <t>Course Orientation</t>
        </is>
      </c>
      <c r="C9" s="26" t="inlineStr">
        <is>
          <t>Platform orientation</t>
        </is>
      </c>
      <c r="D9" s="28" t="inlineStr">
        <is>
          <t>Admin</t>
        </is>
      </c>
      <c r="E9" s="27" t="n"/>
      <c r="F9" s="27" t="n">
        <v>15</v>
      </c>
      <c r="G9" s="26" t="inlineStr">
        <is>
          <t>Navigating Riipen and LMS; reduces friction in subsequent weeks</t>
        </is>
      </c>
    </row>
    <row r="10" outlineLevel="1" ht="30" customHeight="1" s="37">
      <c r="A10" s="19" t="n">
        <v>1.07</v>
      </c>
      <c r="B10" s="23" t="inlineStr">
        <is>
          <t>Project Work</t>
        </is>
      </c>
      <c r="C10" s="26" t="inlineStr">
        <is>
          <t>Review project briefs</t>
        </is>
      </c>
      <c r="D10" s="28" t="inlineStr">
        <is>
          <t>Project</t>
        </is>
      </c>
      <c r="E10" s="27" t="n"/>
      <c r="F10" s="27" t="n">
        <v>60</v>
      </c>
      <c r="G10" s="26" t="inlineStr">
        <is>
          <t>Students browse all available briefs before deep-reading; skimming first prevents anchoring on the first brief encountered; students select finalists based on initial skim and read carefully before forming a preference</t>
        </is>
      </c>
    </row>
    <row r="11" outlineLevel="1" ht="30" customHeight="1" s="37">
      <c r="A11" s="23" t="n">
        <v>1.08</v>
      </c>
      <c r="B11" s="23" t="inlineStr">
        <is>
          <t>Project Work</t>
        </is>
      </c>
      <c r="C11" s="26" t="inlineStr">
        <is>
          <t>Complete student intake, including preference submission with written rationale</t>
        </is>
      </c>
      <c r="D11" s="28" t="inlineStr">
        <is>
          <t>Project</t>
        </is>
      </c>
      <c r="E11" s="27" t="n"/>
      <c r="F11" s="27" t="n">
        <v>45</v>
      </c>
      <c r="G11" s="26" t="inlineStr">
        <is>
          <t>Frames the purpose of the intake questionnaire, how it will support project matching, and should be used for reflection and goal-tracking. Written justification for project selections required; develops reasoned decision-making and surfaces student priorities.</t>
        </is>
      </c>
    </row>
    <row r="12" outlineLevel="1" ht="30" customHeight="1" s="37">
      <c r="A12" s="19" t="n">
        <v>1.09</v>
      </c>
      <c r="B12" s="19" t="inlineStr">
        <is>
          <t>Course Orientation</t>
        </is>
      </c>
      <c r="C12" s="26" t="inlineStr">
        <is>
          <t>LMS introduction post + reading peers</t>
        </is>
      </c>
      <c r="D12" s="28" t="inlineStr">
        <is>
          <t>Admin</t>
        </is>
      </c>
      <c r="E12" s="27" t="n"/>
      <c r="F12" s="27" t="n">
        <v>60</v>
      </c>
      <c r="G12" s="26" t="inlineStr">
        <is>
          <t>Community-building before teams are assigned; students post a self-intro and respond to peers</t>
        </is>
      </c>
    </row>
    <row r="13" outlineLevel="1" ht="30" customHeight="1" s="37">
      <c r="A13" s="29" t="n">
        <v>1.1</v>
      </c>
      <c r="B13" s="23" t="inlineStr">
        <is>
          <t>Professional Fundamentals</t>
        </is>
      </c>
      <c r="C13" s="26" t="inlineStr">
        <is>
          <t>Setting Yourself Up for Success</t>
        </is>
      </c>
      <c r="D13" s="28" t="inlineStr">
        <is>
          <t>Module</t>
        </is>
      </c>
      <c r="E13" s="27" t="n"/>
      <c r="F13" s="27" t="n">
        <v>30</v>
      </c>
      <c r="G13" s="26" t="inlineStr">
        <is>
          <t>Time management and planning basics for project-based work; early semester planning is a reliable predictor of student performance</t>
        </is>
      </c>
    </row>
    <row r="14" outlineLevel="1" ht="30" customHeight="1" s="37">
      <c r="A14" s="19" t="n">
        <v>1.11</v>
      </c>
      <c r="B14" s="19" t="inlineStr">
        <is>
          <t>Course Orientation</t>
        </is>
      </c>
      <c r="C14" s="26" t="inlineStr">
        <is>
          <t>Course calendar / planning</t>
        </is>
      </c>
      <c r="D14" s="28" t="inlineStr">
        <is>
          <t>Admin</t>
        </is>
      </c>
      <c r="E14" s="27" t="n"/>
      <c r="F14" s="27" t="n">
        <v>15</v>
      </c>
      <c r="G14" s="26" t="inlineStr">
        <is>
          <t>Students map deliverable dates to their own calendars; supports time management and reduces late submissions</t>
        </is>
      </c>
    </row>
    <row r="15" outlineLevel="1" ht="30" customHeight="1" s="37">
      <c r="A15" s="23" t="n">
        <v>1.12</v>
      </c>
      <c r="B15" s="23" t="inlineStr">
        <is>
          <t>Professional Fundamentals</t>
        </is>
      </c>
      <c r="C15" s="26" t="inlineStr">
        <is>
          <t>Professional Email Basics</t>
        </is>
      </c>
      <c r="D15" s="28" t="inlineStr">
        <is>
          <t>Module</t>
        </is>
      </c>
      <c r="E15" s="27" t="n"/>
      <c r="F15" s="27" t="n">
        <v>30</v>
      </c>
      <c r="G15" s="26" t="inlineStr">
        <is>
          <t>Practical skill introduced before students need to communicate professionally; applies immediately in Week 2 outreach</t>
        </is>
      </c>
    </row>
    <row r="16" outlineLevel="1" ht="30" customHeight="1" s="37">
      <c r="A16" s="19" t="n">
        <v>1.13</v>
      </c>
      <c r="B16" s="23" t="inlineStr">
        <is>
          <t>Project Work</t>
        </is>
      </c>
      <c r="C16" s="26" t="inlineStr">
        <is>
          <t>Team norms overview</t>
        </is>
      </c>
      <c r="D16" s="28" t="inlineStr">
        <is>
          <t>Project</t>
        </is>
      </c>
      <c r="E16" s="27" t="n"/>
      <c r="F16" s="27" t="n">
        <v>30</v>
      </c>
      <c r="G16" s="26" t="inlineStr">
        <is>
          <t>Pre-exposure to Week 2 content before teams are assigned; students arrive primed for the charter conversation</t>
        </is>
      </c>
    </row>
    <row r="17" outlineLevel="1" ht="30" customHeight="1" s="37">
      <c r="A17" s="23" t="n">
        <v>1.14</v>
      </c>
      <c r="B17" s="23" t="inlineStr">
        <is>
          <t>Project Work</t>
        </is>
      </c>
      <c r="C17" s="26" t="inlineStr">
        <is>
          <t>Team Charter template review</t>
        </is>
      </c>
      <c r="D17" s="28" t="inlineStr">
        <is>
          <t>Project</t>
        </is>
      </c>
      <c r="E17" s="27" t="n"/>
      <c r="F17" s="27" t="n">
        <v>15</v>
      </c>
      <c r="G17" s="26" t="inlineStr">
        <is>
          <t>Template review only — not completed this week; reduces cognitive load when teams meet in Week 2</t>
        </is>
      </c>
    </row>
    <row r="18" ht="15.75" customHeight="1" s="37">
      <c r="A18" s="40" t="inlineStr">
        <is>
          <t>Week Total</t>
        </is>
      </c>
      <c r="B18" s="39" t="n"/>
      <c r="C18" s="39" t="n"/>
      <c r="D18" s="39" t="n"/>
      <c r="E18" s="31" t="n"/>
      <c r="F18" s="32">
        <f>SUM(F4:F17)</f>
        <v/>
      </c>
      <c r="G18" s="33">
        <f>F18/60</f>
        <v/>
      </c>
    </row>
    <row r="19" ht="15.75" customHeight="1" s="37"/>
    <row r="20" ht="19.5" customHeight="1" s="37">
      <c r="A20" s="38" t="inlineStr">
        <is>
          <t>WEEK 2 — BUILDING YOUR TEAM   |   Foundation</t>
        </is>
      </c>
      <c r="B20" s="39" t="n"/>
      <c r="C20" s="39" t="n"/>
      <c r="D20" s="39" t="n"/>
      <c r="E20" s="39" t="n"/>
      <c r="F20" s="39" t="n"/>
      <c r="G20" s="39" t="n"/>
    </row>
    <row r="21" outlineLevel="1" ht="15.75" customHeight="1" s="37">
      <c r="A21" s="41" t="n">
        <v>2.01</v>
      </c>
      <c r="B21" s="42" t="inlineStr">
        <is>
          <t>Team Formation</t>
        </is>
      </c>
      <c r="C21" s="43" t="inlineStr">
        <is>
          <t>Building Your Team module section</t>
        </is>
      </c>
      <c r="D21" s="42" t="inlineStr">
        <is>
          <t>Module</t>
        </is>
      </c>
      <c r="E21" s="44" t="n"/>
      <c r="F21" s="44" t="n">
        <v>20</v>
      </c>
      <c r="G21" s="43" t="inlineStr">
        <is>
          <t>Covers team dynamics, charter negotiation, and establishing norms; delivered before the first team meeting so students arrive with a shared frame for the charter conversation</t>
        </is>
      </c>
    </row>
    <row r="22" outlineLevel="1" ht="15.75" customHeight="1" s="37">
      <c r="A22" s="41" t="n">
        <v>2.02</v>
      </c>
      <c r="B22" s="42" t="inlineStr">
        <is>
          <t>Team Formation</t>
        </is>
      </c>
      <c r="C22" s="43" t="inlineStr">
        <is>
          <t>First contact with teammates + scheduling</t>
        </is>
      </c>
      <c r="D22" s="42" t="inlineStr">
        <is>
          <t>Project</t>
        </is>
      </c>
      <c r="E22" s="44" t="n"/>
      <c r="F22" s="44" t="n">
        <v>20</v>
      </c>
      <c r="G22" s="43" t="inlineStr">
        <is>
          <t>Initiating contact, finding a meeting time across four schedules; inherently inefficient for strangers; async coordination via email or LMS messaging</t>
        </is>
      </c>
    </row>
    <row r="23" outlineLevel="1" ht="15.75" customHeight="1" s="37">
      <c r="A23" s="41" t="n">
        <v>2.03</v>
      </c>
      <c r="B23" s="42" t="inlineStr">
        <is>
          <t>Team Formation</t>
        </is>
      </c>
      <c r="C23" s="43" t="inlineStr">
        <is>
          <t>First team meeting</t>
        </is>
      </c>
      <c r="D23" s="42" t="inlineStr">
        <is>
          <t>Project</t>
        </is>
      </c>
      <c r="E23" s="44" t="n"/>
      <c r="F23" s="44" t="n">
        <v>90</v>
      </c>
      <c r="G23" s="43" t="inlineStr">
        <is>
          <t>90-minute synchronous meeting covering introductions, shared read-through of the project brief, initial reactions, and charter negotiation; 75 min was too lean for strangers tackling a real deliverable together for the first time</t>
        </is>
      </c>
    </row>
    <row r="24" outlineLevel="1" ht="15.75" customHeight="1" s="37">
      <c r="A24" s="41" t="n">
        <v>2.04</v>
      </c>
      <c r="B24" s="42" t="inlineStr">
        <is>
          <t>Team Formation</t>
        </is>
      </c>
      <c r="C24" s="43" t="inlineStr">
        <is>
          <t>Team Charter drafting, review, and finalization</t>
        </is>
      </c>
      <c r="D24" s="42" t="inlineStr">
        <is>
          <t>Project</t>
        </is>
      </c>
      <c r="E24" s="44" t="n"/>
      <c r="F24" s="44" t="n">
        <v>60</v>
      </c>
      <c r="G24" s="43" t="inlineStr">
        <is>
          <t>One team member drafts after the meeting; async back-and-forth to finalize; all four students must agree on the substance before the charter is complete</t>
        </is>
      </c>
    </row>
    <row r="25" outlineLevel="1" ht="15.75" customHeight="1" s="37">
      <c r="A25" s="41" t="n">
        <v>2.05</v>
      </c>
      <c r="B25" s="42" t="inlineStr">
        <is>
          <t>Team Formation</t>
        </is>
      </c>
      <c r="C25" s="43" t="inlineStr">
        <is>
          <t>Async team communication across the week</t>
        </is>
      </c>
      <c r="D25" s="42" t="inlineStr">
        <is>
          <t>Project</t>
        </is>
      </c>
      <c r="E25" s="44" t="n"/>
      <c r="F25" s="44" t="n">
        <v>15</v>
      </c>
      <c r="G25" s="43" t="inlineStr">
        <is>
          <t>Coordination outside of the meeting; Slack, email, or LMS; lighter than subsequent weeks because the relationship is brand new and norms are still forming</t>
        </is>
      </c>
    </row>
    <row r="26" outlineLevel="1" ht="15.75" customHeight="1" s="37">
      <c r="A26" s="41" t="n">
        <v>2.06</v>
      </c>
      <c r="B26" s="42" t="inlineStr">
        <is>
          <t>Employer Engagement</t>
        </is>
      </c>
      <c r="C26" s="43" t="inlineStr">
        <is>
          <t>First Client Communication module section</t>
        </is>
      </c>
      <c r="D26" s="42" t="inlineStr">
        <is>
          <t>Module</t>
        </is>
      </c>
      <c r="E26" s="44" t="n"/>
      <c r="F26" s="44" t="n">
        <v>20</v>
      </c>
      <c r="G26" s="43" t="inlineStr">
        <is>
          <t>Professional email, scheduling logistics, representing the team; delivered before students draft the outreach email so the skill is introduced immediately before application</t>
        </is>
      </c>
    </row>
    <row r="27" outlineLevel="1" ht="15.75" customHeight="1" s="37">
      <c r="A27" s="41" t="n">
        <v>2.07</v>
      </c>
      <c r="B27" s="42" t="inlineStr">
        <is>
          <t>Employer Engagement</t>
        </is>
      </c>
      <c r="C27" s="43" t="inlineStr">
        <is>
          <t>Draft and agree on employer outreach email</t>
        </is>
      </c>
      <c r="D27" s="42" t="inlineStr">
        <is>
          <t>Project</t>
        </is>
      </c>
      <c r="E27" s="44" t="n"/>
      <c r="F27" s="44" t="n">
        <v>35</v>
      </c>
      <c r="G27" s="43" t="inlineStr">
        <is>
          <t>Team drafts the introduction email and requests the kickoff meeting; collective agreement required before sending; AI-assisted drafting is permitted with disclosure</t>
        </is>
      </c>
    </row>
    <row r="28" outlineLevel="1" ht="15.75" customHeight="1" s="37">
      <c r="A28" s="41" t="n">
        <v>2.08</v>
      </c>
      <c r="B28" s="42" t="inlineStr">
        <is>
          <t>Employer Engagement</t>
        </is>
      </c>
      <c r="C28" s="43" t="inlineStr">
        <is>
          <t>Employer scheduling coordination</t>
        </is>
      </c>
      <c r="D28" s="42" t="inlineStr">
        <is>
          <t>Project</t>
        </is>
      </c>
      <c r="E28" s="44" t="n"/>
      <c r="F28" s="44" t="n">
        <v>15</v>
      </c>
      <c r="G28" s="43" t="inlineStr">
        <is>
          <t>Follow-up to confirm receipt and handle logistics; brief but real; missing from original time estimate</t>
        </is>
      </c>
    </row>
    <row r="29" outlineLevel="1" ht="15.75" customHeight="1" s="37">
      <c r="A29" s="41" t="n">
        <v>2.09</v>
      </c>
      <c r="B29" s="42" t="inlineStr">
        <is>
          <t>Project Orientation</t>
        </is>
      </c>
      <c r="C29" s="43" t="inlineStr">
        <is>
          <t>Kickoff Preparation module section</t>
        </is>
      </c>
      <c r="D29" s="42" t="inlineStr">
        <is>
          <t>Module</t>
        </is>
      </c>
      <c r="E29" s="44" t="n"/>
      <c r="F29" s="44" t="n">
        <v>20</v>
      </c>
      <c r="G29" s="43" t="inlineStr">
        <is>
          <t>What to research, how to prepare questions, what to listen for at the kickoff; just-in-time for the meeting happening in Week 3</t>
        </is>
      </c>
    </row>
    <row r="30" outlineLevel="1" ht="15.75" customHeight="1" s="37">
      <c r="A30" s="41" t="n">
        <v>2.1</v>
      </c>
      <c r="B30" s="42" t="inlineStr">
        <is>
          <t>Project Orientation</t>
        </is>
      </c>
      <c r="C30" s="43" t="inlineStr">
        <is>
          <t>Using AI Responsibly module section</t>
        </is>
      </c>
      <c r="D30" s="42" t="inlineStr">
        <is>
          <t>Module</t>
        </is>
      </c>
      <c r="E30" s="44" t="n"/>
      <c r="F30" s="44" t="n">
        <v>35</v>
      </c>
      <c r="G30" s="43" t="inlineStr">
        <is>
          <t>How to prompt well, how to evaluate AI output critically, how to verify claims, how to use AI as a thinking partner rather than an answer machine; includes example prompts and critical evaluation exercises; first formal introduction of prompt strategy</t>
        </is>
      </c>
    </row>
    <row r="31" outlineLevel="1" ht="15.75" customHeight="1" s="37">
      <c r="A31" s="41" t="n">
        <v>2.11</v>
      </c>
      <c r="B31" s="42" t="inlineStr">
        <is>
          <t>Project Orientation</t>
        </is>
      </c>
      <c r="C31" s="43" t="inlineStr">
        <is>
          <t>Individual research on employer organization</t>
        </is>
      </c>
      <c r="D31" s="42" t="inlineStr">
        <is>
          <t>Project</t>
        </is>
      </c>
      <c r="E31" s="44" t="n"/>
      <c r="F31" s="44" t="n">
        <v>50</v>
      </c>
      <c r="G31" s="43" t="inlineStr">
        <is>
          <t>Students now have a real project assignment and genuine motivation to understand Maple &amp; Main; website, social media, news coverage, sector context; feeds Context Analysis in Week 4</t>
        </is>
      </c>
    </row>
    <row r="32" ht="15.75" customHeight="1" s="37">
      <c r="A32" s="45" t="n">
        <v>2.12</v>
      </c>
      <c r="B32" s="46" t="inlineStr">
        <is>
          <t>Project Orientation</t>
        </is>
      </c>
      <c r="C32" s="47" t="inlineStr">
        <is>
          <t>Review Context Analysis &amp; Project Plan assignment + rubric</t>
        </is>
      </c>
      <c r="D32" s="46" t="inlineStr">
        <is>
          <t>Project</t>
        </is>
      </c>
      <c r="E32" s="48" t="n"/>
      <c r="F32" s="48" t="n">
        <v>25</v>
      </c>
      <c r="G32" s="47" t="inlineStr">
        <is>
          <t>Better timing than Week 1 — students now have a real project to contextualize the rubric against; knowing the assessment criteria before beginning work shapes what they prioritize in research and charter conversations</t>
        </is>
      </c>
    </row>
    <row r="33" ht="15.75" customHeight="1" s="37">
      <c r="A33" s="45" t="n">
        <v>2.13</v>
      </c>
      <c r="B33" s="46" t="inlineStr">
        <is>
          <t>Project Orientation</t>
        </is>
      </c>
      <c r="C33" s="47" t="inlineStr">
        <is>
          <t>Anticipatory reading: kickoff best practices</t>
        </is>
      </c>
      <c r="D33" s="46" t="inlineStr">
        <is>
          <t>Project</t>
        </is>
      </c>
      <c r="E33" s="48" t="n"/>
      <c r="F33" s="48" t="n">
        <v>30</v>
      </c>
      <c r="G33" s="47" t="inlineStr">
        <is>
          <t>Pre-exposure to Week 3 content before the kickoff meeting; students arrive in Week 3 primed for how to prepare and what to listen for</t>
        </is>
      </c>
    </row>
    <row r="34" ht="19.5" customHeight="1" s="37">
      <c r="A34" s="45" t="n">
        <v>2.14</v>
      </c>
      <c r="B34" s="46" t="inlineStr">
        <is>
          <t>Admin</t>
        </is>
      </c>
      <c r="C34" s="47" t="inlineStr">
        <is>
          <t>Review teammates’ LMS intro posts</t>
        </is>
      </c>
      <c r="D34" s="46" t="inlineStr">
        <is>
          <t>Admin</t>
        </is>
      </c>
      <c r="E34" s="48" t="n"/>
      <c r="F34" s="48" t="n">
        <v>15</v>
      </c>
      <c r="G34" s="47" t="inlineStr">
        <is>
          <t>Now that team assignments are known, students read their teammates’ Week 1 intro posts; community-building with the specific people they’ll be working with for 15 weeks</t>
        </is>
      </c>
    </row>
    <row r="35" outlineLevel="1" ht="15.75" customHeight="1" s="37">
      <c r="A35" s="49" t="inlineStr">
        <is>
          <t>Week Total</t>
        </is>
      </c>
      <c r="B35" s="39" t="n"/>
      <c r="C35" s="39" t="n"/>
      <c r="D35" s="39" t="n"/>
      <c r="E35" s="50" t="n"/>
      <c r="F35" s="51">
        <f>SUM(F21:F34)</f>
        <v/>
      </c>
      <c r="G35" s="52">
        <f>F35/60</f>
        <v/>
      </c>
    </row>
    <row r="36" outlineLevel="1" ht="15.75" customHeight="1" s="37"/>
    <row r="37" outlineLevel="1" ht="15.75" customHeight="1" s="37">
      <c r="A37" s="38" t="inlineStr">
        <is>
          <t>WEEK 3 — UNDERSTANDING YOUR CLIENT   |   Foundation</t>
        </is>
      </c>
      <c r="B37" s="39" t="n"/>
      <c r="C37" s="39" t="n"/>
      <c r="D37" s="39" t="n"/>
      <c r="E37" s="39" t="n"/>
      <c r="F37" s="39" t="n"/>
      <c r="G37" s="39" t="n"/>
    </row>
    <row r="38" ht="15.75" customHeight="1" s="37">
      <c r="A38" s="35" t="n"/>
      <c r="B38" s="39" t="n"/>
      <c r="C38" s="39" t="n"/>
      <c r="D38" s="53" t="n"/>
      <c r="E38" s="35" t="n"/>
      <c r="F38" s="35" t="n"/>
      <c r="G38" s="35" t="n"/>
    </row>
    <row r="39" ht="15.75" customHeight="1" s="37">
      <c r="A39" s="36" t="n"/>
      <c r="B39" s="36" t="n"/>
      <c r="C39" s="36" t="inlineStr">
        <is>
          <t>[Activity to be added]</t>
        </is>
      </c>
      <c r="D39" s="36" t="n"/>
      <c r="E39" s="36" t="n"/>
      <c r="F39" s="36" t="n"/>
      <c r="G39" s="36" t="n"/>
    </row>
    <row r="40" ht="19.5" customHeight="1" s="37">
      <c r="A40" s="35" t="n"/>
      <c r="B40" s="39" t="n"/>
      <c r="C40" s="39" t="n"/>
      <c r="D40" s="39" t="n"/>
      <c r="E40" s="39" t="n"/>
      <c r="F40" s="39" t="n"/>
      <c r="G40" s="53" t="n"/>
    </row>
    <row r="41" outlineLevel="1" ht="15.75" customHeight="1" s="37">
      <c r="A41" s="40" t="inlineStr">
        <is>
          <t>Week Total</t>
        </is>
      </c>
      <c r="B41" s="39" t="n"/>
      <c r="C41" s="39" t="n"/>
      <c r="D41" s="39" t="n"/>
      <c r="E41" s="31" t="n"/>
      <c r="F41" s="32">
        <f>SUM(F38:F40)</f>
        <v/>
      </c>
      <c r="G41" s="33">
        <f>F41/60</f>
        <v/>
      </c>
    </row>
    <row r="42" outlineLevel="1" ht="15.75" customHeight="1" s="37"/>
    <row r="43" outlineLevel="1" ht="15.75" customHeight="1" s="37">
      <c r="A43" s="38" t="inlineStr">
        <is>
          <t>WEEK 4 — FROM RESEARCH TO STRATEGY   |   Discovery</t>
        </is>
      </c>
      <c r="B43" s="39" t="n"/>
      <c r="C43" s="39" t="n"/>
      <c r="D43" s="39" t="n"/>
      <c r="E43" s="39" t="n"/>
      <c r="F43" s="39" t="n"/>
      <c r="G43" s="39" t="n"/>
    </row>
    <row r="44" ht="15.75" customHeight="1" s="37">
      <c r="A44" s="35" t="n"/>
      <c r="B44" s="39" t="n"/>
      <c r="C44" s="39" t="n"/>
      <c r="D44" s="53" t="n"/>
      <c r="E44" s="35" t="n"/>
      <c r="F44" s="35" t="n"/>
      <c r="G44" s="35" t="n"/>
    </row>
    <row r="45" ht="15.75" customHeight="1" s="37">
      <c r="A45" s="36" t="n"/>
      <c r="B45" s="36" t="n"/>
      <c r="C45" s="36" t="inlineStr">
        <is>
          <t>[Activity to be added]</t>
        </is>
      </c>
      <c r="D45" s="36" t="n"/>
      <c r="E45" s="36" t="n"/>
      <c r="F45" s="36" t="n"/>
      <c r="G45" s="36" t="n"/>
    </row>
    <row r="46" ht="19.5" customHeight="1" s="37">
      <c r="A46" s="35" t="n"/>
      <c r="B46" s="39" t="n"/>
      <c r="C46" s="39" t="n"/>
      <c r="D46" s="39" t="n"/>
      <c r="E46" s="39" t="n"/>
      <c r="F46" s="39" t="n"/>
      <c r="G46" s="53" t="n"/>
    </row>
    <row r="47" outlineLevel="1" ht="15.75" customHeight="1" s="37">
      <c r="A47" s="40" t="inlineStr">
        <is>
          <t>Week Total</t>
        </is>
      </c>
      <c r="B47" s="39" t="n"/>
      <c r="C47" s="39" t="n"/>
      <c r="D47" s="39" t="n"/>
      <c r="E47" s="31" t="n"/>
      <c r="F47" s="32">
        <f>SUM(F44:F46)</f>
        <v/>
      </c>
      <c r="G47" s="33">
        <f>F47/60</f>
        <v/>
      </c>
    </row>
    <row r="48" outlineLevel="1" ht="15.75" customHeight="1" s="37"/>
    <row r="49" outlineLevel="1" ht="15.75" customHeight="1" s="37">
      <c r="A49" s="38" t="inlineStr">
        <is>
          <t>WEEK 5 — PROFESSIONAL COMMUNICATION   |   Discovery</t>
        </is>
      </c>
      <c r="B49" s="39" t="n"/>
      <c r="C49" s="39" t="n"/>
      <c r="D49" s="39" t="n"/>
      <c r="E49" s="39" t="n"/>
      <c r="F49" s="39" t="n"/>
      <c r="G49" s="39" t="n"/>
    </row>
    <row r="50" ht="15.75" customHeight="1" s="37">
      <c r="A50" s="35" t="n"/>
      <c r="B50" s="39" t="n"/>
      <c r="C50" s="39" t="n"/>
      <c r="D50" s="53" t="n"/>
      <c r="E50" s="35" t="n"/>
      <c r="F50" s="35" t="n"/>
      <c r="G50" s="35" t="n"/>
    </row>
    <row r="51" ht="15.75" customHeight="1" s="37">
      <c r="A51" s="36" t="n"/>
      <c r="B51" s="36" t="n"/>
      <c r="C51" s="36" t="inlineStr">
        <is>
          <t>[Activity to be added]</t>
        </is>
      </c>
      <c r="D51" s="36" t="n"/>
      <c r="E51" s="36" t="n"/>
      <c r="F51" s="36" t="n"/>
      <c r="G51" s="36" t="n"/>
    </row>
    <row r="52" ht="19.5" customHeight="1" s="37">
      <c r="A52" s="35" t="n"/>
      <c r="B52" s="39" t="n"/>
      <c r="C52" s="39" t="n"/>
      <c r="D52" s="39" t="n"/>
      <c r="E52" s="39" t="n"/>
      <c r="F52" s="39" t="n"/>
      <c r="G52" s="53" t="n"/>
    </row>
    <row r="53" outlineLevel="1" ht="15.75" customHeight="1" s="37">
      <c r="A53" s="40" t="inlineStr">
        <is>
          <t>Week Total</t>
        </is>
      </c>
      <c r="B53" s="39" t="n"/>
      <c r="C53" s="39" t="n"/>
      <c r="D53" s="39" t="n"/>
      <c r="E53" s="31" t="n"/>
      <c r="F53" s="32">
        <f>SUM(F50:F52)</f>
        <v/>
      </c>
      <c r="G53" s="33">
        <f>F53/60</f>
        <v/>
      </c>
    </row>
    <row r="54" outlineLevel="1" ht="15.75" customHeight="1" s="37"/>
    <row r="55" outlineLevel="1" ht="15.75" customHeight="1" s="37">
      <c r="A55" s="38" t="inlineStr">
        <is>
          <t>WEEK 6 — WORKING THROUGH AMBIGUITY   |   Discovery</t>
        </is>
      </c>
      <c r="B55" s="39" t="n"/>
      <c r="C55" s="39" t="n"/>
      <c r="D55" s="39" t="n"/>
      <c r="E55" s="39" t="n"/>
      <c r="F55" s="39" t="n"/>
      <c r="G55" s="39" t="n"/>
    </row>
    <row r="56" ht="15.75" customHeight="1" s="37">
      <c r="A56" s="35" t="n"/>
      <c r="B56" s="39" t="n"/>
      <c r="C56" s="39" t="n"/>
      <c r="D56" s="53" t="n"/>
      <c r="E56" s="35" t="n"/>
      <c r="F56" s="35" t="n"/>
      <c r="G56" s="35" t="n"/>
    </row>
    <row r="57" ht="15.75" customHeight="1" s="37">
      <c r="A57" s="36" t="n"/>
      <c r="B57" s="36" t="n"/>
      <c r="C57" s="36" t="inlineStr">
        <is>
          <t>[Activity to be added]</t>
        </is>
      </c>
      <c r="D57" s="36" t="n"/>
      <c r="E57" s="36" t="n"/>
      <c r="F57" s="36" t="n"/>
      <c r="G57" s="36" t="n"/>
    </row>
    <row r="58" ht="19.5" customHeight="1" s="37">
      <c r="A58" s="35" t="n"/>
      <c r="B58" s="39" t="n"/>
      <c r="C58" s="39" t="n"/>
      <c r="D58" s="39" t="n"/>
      <c r="E58" s="39" t="n"/>
      <c r="F58" s="39" t="n"/>
      <c r="G58" s="53" t="n"/>
    </row>
    <row r="59" outlineLevel="1" ht="15.75" customHeight="1" s="37">
      <c r="A59" s="40" t="inlineStr">
        <is>
          <t>Week Total</t>
        </is>
      </c>
      <c r="B59" s="39" t="n"/>
      <c r="C59" s="39" t="n"/>
      <c r="D59" s="39" t="n"/>
      <c r="E59" s="31" t="n"/>
      <c r="F59" s="32">
        <f>SUM(F56:F58)</f>
        <v/>
      </c>
      <c r="G59" s="33">
        <f>F59/60</f>
        <v/>
      </c>
    </row>
    <row r="60" outlineLevel="1" ht="15.75" customHeight="1" s="37"/>
    <row r="61" outlineLevel="1" ht="15.75" customHeight="1" s="37">
      <c r="A61" s="38" t="inlineStr">
        <is>
          <t>WEEK 7 — PROGRESS REVIEW   |   Development</t>
        </is>
      </c>
      <c r="B61" s="39" t="n"/>
      <c r="C61" s="39" t="n"/>
      <c r="D61" s="39" t="n"/>
      <c r="E61" s="39" t="n"/>
      <c r="F61" s="39" t="n"/>
      <c r="G61" s="39" t="n"/>
    </row>
    <row r="62" ht="15.75" customHeight="1" s="37">
      <c r="A62" s="35" t="n"/>
      <c r="B62" s="39" t="n"/>
      <c r="C62" s="39" t="n"/>
      <c r="D62" s="53" t="n"/>
      <c r="E62" s="35" t="n"/>
      <c r="F62" s="35" t="n"/>
      <c r="G62" s="35" t="n"/>
    </row>
    <row r="63" ht="15.75" customHeight="1" s="37">
      <c r="A63" s="36" t="n"/>
      <c r="B63" s="36" t="n"/>
      <c r="C63" s="36" t="inlineStr">
        <is>
          <t>[Activity to be added]</t>
        </is>
      </c>
      <c r="D63" s="36" t="n"/>
      <c r="E63" s="36" t="n"/>
      <c r="F63" s="36" t="n"/>
      <c r="G63" s="36" t="n"/>
    </row>
    <row r="64" ht="19.5" customHeight="1" s="37">
      <c r="A64" s="35" t="n"/>
      <c r="B64" s="39" t="n"/>
      <c r="C64" s="39" t="n"/>
      <c r="D64" s="39" t="n"/>
      <c r="E64" s="39" t="n"/>
      <c r="F64" s="39" t="n"/>
      <c r="G64" s="53" t="n"/>
    </row>
    <row r="65" outlineLevel="1" ht="15.75" customHeight="1" s="37">
      <c r="A65" s="40" t="inlineStr">
        <is>
          <t>Week Total</t>
        </is>
      </c>
      <c r="B65" s="39" t="n"/>
      <c r="C65" s="39" t="n"/>
      <c r="D65" s="39" t="n"/>
      <c r="E65" s="31" t="n"/>
      <c r="F65" s="32">
        <f>SUM(F62:F64)</f>
        <v/>
      </c>
      <c r="G65" s="33">
        <f>F65/60</f>
        <v/>
      </c>
    </row>
    <row r="66" outlineLevel="1" ht="15.75" customHeight="1" s="37"/>
    <row r="67" outlineLevel="1" ht="15.75" customHeight="1" s="37">
      <c r="A67" s="38" t="inlineStr">
        <is>
          <t>WEEK 8 — MAKING FEEDBACK USEFUL   |   Development</t>
        </is>
      </c>
      <c r="B67" s="39" t="n"/>
      <c r="C67" s="39" t="n"/>
      <c r="D67" s="39" t="n"/>
      <c r="E67" s="39" t="n"/>
      <c r="F67" s="39" t="n"/>
      <c r="G67" s="39" t="n"/>
    </row>
    <row r="68" ht="15.75" customHeight="1" s="37">
      <c r="A68" s="35" t="n"/>
      <c r="B68" s="39" t="n"/>
      <c r="C68" s="39" t="n"/>
      <c r="D68" s="53" t="n"/>
      <c r="E68" s="35" t="n"/>
      <c r="F68" s="35" t="n"/>
      <c r="G68" s="35" t="n"/>
    </row>
    <row r="69" ht="15.75" customHeight="1" s="37">
      <c r="A69" s="36" t="n"/>
      <c r="B69" s="36" t="n"/>
      <c r="C69" s="36" t="inlineStr">
        <is>
          <t>[Activity to be added]</t>
        </is>
      </c>
      <c r="D69" s="36" t="n"/>
      <c r="E69" s="36" t="n"/>
      <c r="F69" s="36" t="n"/>
      <c r="G69" s="36" t="n"/>
    </row>
    <row r="70" ht="19.5" customHeight="1" s="37">
      <c r="A70" s="35" t="n"/>
      <c r="B70" s="39" t="n"/>
      <c r="C70" s="39" t="n"/>
      <c r="D70" s="39" t="n"/>
      <c r="E70" s="39" t="n"/>
      <c r="F70" s="39" t="n"/>
      <c r="G70" s="53" t="n"/>
    </row>
    <row r="71" outlineLevel="1" ht="15.75" customHeight="1" s="37">
      <c r="A71" s="40" t="inlineStr">
        <is>
          <t>Week Total</t>
        </is>
      </c>
      <c r="B71" s="39" t="n"/>
      <c r="C71" s="39" t="n"/>
      <c r="D71" s="39" t="n"/>
      <c r="E71" s="31" t="n"/>
      <c r="F71" s="32">
        <f>SUM(F68:F70)</f>
        <v/>
      </c>
      <c r="G71" s="33">
        <f>F71/60</f>
        <v/>
      </c>
    </row>
    <row r="72" outlineLevel="1" ht="15.75" customHeight="1" s="37"/>
    <row r="73" outlineLevel="1" ht="15.75" customHeight="1" s="37">
      <c r="A73" s="38" t="inlineStr">
        <is>
          <t>WEEK 9 — TEAMWORK UNDER PRESSURE   |   Development</t>
        </is>
      </c>
      <c r="B73" s="39" t="n"/>
      <c r="C73" s="39" t="n"/>
      <c r="D73" s="39" t="n"/>
      <c r="E73" s="39" t="n"/>
      <c r="F73" s="39" t="n"/>
      <c r="G73" s="39" t="n"/>
    </row>
    <row r="74" ht="15.75" customHeight="1" s="37">
      <c r="A74" s="35" t="n"/>
      <c r="B74" s="39" t="n"/>
      <c r="C74" s="39" t="n"/>
      <c r="D74" s="53" t="n"/>
      <c r="E74" s="35" t="n"/>
      <c r="F74" s="35" t="n"/>
      <c r="G74" s="35" t="n"/>
    </row>
    <row r="75" ht="15.75" customHeight="1" s="37">
      <c r="A75" s="36" t="n"/>
      <c r="B75" s="36" t="n"/>
      <c r="C75" s="36" t="inlineStr">
        <is>
          <t>[Activity to be added]</t>
        </is>
      </c>
      <c r="D75" s="36" t="n"/>
      <c r="E75" s="36" t="n"/>
      <c r="F75" s="36" t="n"/>
      <c r="G75" s="36" t="n"/>
    </row>
    <row r="76" ht="19.5" customHeight="1" s="37">
      <c r="A76" s="35" t="n"/>
      <c r="B76" s="39" t="n"/>
      <c r="C76" s="39" t="n"/>
      <c r="D76" s="39" t="n"/>
      <c r="E76" s="39" t="n"/>
      <c r="F76" s="39" t="n"/>
      <c r="G76" s="53" t="n"/>
    </row>
    <row r="77" outlineLevel="1" ht="15.75" customHeight="1" s="37">
      <c r="A77" s="40" t="inlineStr">
        <is>
          <t>Week Total</t>
        </is>
      </c>
      <c r="B77" s="39" t="n"/>
      <c r="C77" s="39" t="n"/>
      <c r="D77" s="39" t="n"/>
      <c r="E77" s="31" t="n"/>
      <c r="F77" s="32">
        <f>SUM(F74:F76)</f>
        <v/>
      </c>
      <c r="G77" s="33">
        <f>F77/60</f>
        <v/>
      </c>
    </row>
    <row r="78" outlineLevel="1" ht="15.75" customHeight="1" s="37"/>
    <row r="79" outlineLevel="1" ht="15.75" customHeight="1" s="37">
      <c r="A79" s="38" t="inlineStr">
        <is>
          <t>WEEK 10 — CONNECTING THEORY &amp; PRACTICE   |   Refinement</t>
        </is>
      </c>
      <c r="B79" s="39" t="n"/>
      <c r="C79" s="39" t="n"/>
      <c r="D79" s="39" t="n"/>
      <c r="E79" s="39" t="n"/>
      <c r="F79" s="39" t="n"/>
      <c r="G79" s="39" t="n"/>
    </row>
    <row r="80" ht="15.75" customHeight="1" s="37">
      <c r="A80" s="35" t="n"/>
      <c r="B80" s="39" t="n"/>
      <c r="C80" s="39" t="n"/>
      <c r="D80" s="53" t="n"/>
      <c r="E80" s="35" t="n"/>
      <c r="F80" s="35" t="n"/>
      <c r="G80" s="35" t="n"/>
    </row>
    <row r="81" ht="15.75" customHeight="1" s="37">
      <c r="A81" s="36" t="n"/>
      <c r="B81" s="36" t="n"/>
      <c r="C81" s="36" t="inlineStr">
        <is>
          <t>[Activity to be added]</t>
        </is>
      </c>
      <c r="D81" s="36" t="n"/>
      <c r="E81" s="36" t="n"/>
      <c r="F81" s="36" t="n"/>
      <c r="G81" s="36" t="n"/>
    </row>
    <row r="82" ht="19.5" customHeight="1" s="37">
      <c r="A82" s="35" t="n"/>
      <c r="B82" s="39" t="n"/>
      <c r="C82" s="39" t="n"/>
      <c r="D82" s="39" t="n"/>
      <c r="E82" s="39" t="n"/>
      <c r="F82" s="39" t="n"/>
      <c r="G82" s="53" t="n"/>
    </row>
    <row r="83" outlineLevel="1" ht="15.75" customHeight="1" s="37">
      <c r="A83" s="40" t="inlineStr">
        <is>
          <t>Week Total</t>
        </is>
      </c>
      <c r="B83" s="39" t="n"/>
      <c r="C83" s="39" t="n"/>
      <c r="D83" s="39" t="n"/>
      <c r="E83" s="31" t="n"/>
      <c r="F83" s="32">
        <f>SUM(F80:F82)</f>
        <v/>
      </c>
      <c r="G83" s="33">
        <f>F83/60</f>
        <v/>
      </c>
    </row>
    <row r="84" outlineLevel="1" ht="15.75" customHeight="1" s="37"/>
    <row r="85" outlineLevel="1" ht="15.75" customHeight="1" s="37">
      <c r="A85" s="38" t="inlineStr">
        <is>
          <t>WEEK 11 — QUALITY AND CRAFT   |   Refinement</t>
        </is>
      </c>
      <c r="B85" s="39" t="n"/>
      <c r="C85" s="39" t="n"/>
      <c r="D85" s="39" t="n"/>
      <c r="E85" s="39" t="n"/>
      <c r="F85" s="39" t="n"/>
      <c r="G85" s="39" t="n"/>
    </row>
    <row r="86" ht="15.75" customHeight="1" s="37">
      <c r="A86" s="35" t="n"/>
      <c r="B86" s="39" t="n"/>
      <c r="C86" s="39" t="n"/>
      <c r="D86" s="53" t="n"/>
      <c r="E86" s="35" t="n"/>
      <c r="F86" s="35" t="n"/>
      <c r="G86" s="35" t="n"/>
    </row>
    <row r="87" ht="15.75" customHeight="1" s="37">
      <c r="A87" s="36" t="n"/>
      <c r="B87" s="36" t="n"/>
      <c r="C87" s="36" t="inlineStr">
        <is>
          <t>[Activity to be added]</t>
        </is>
      </c>
      <c r="D87" s="36" t="n"/>
      <c r="E87" s="36" t="n"/>
      <c r="F87" s="36" t="n"/>
      <c r="G87" s="36" t="n"/>
    </row>
    <row r="88" ht="19.5" customHeight="1" s="37">
      <c r="A88" s="35" t="n"/>
      <c r="B88" s="39" t="n"/>
      <c r="C88" s="39" t="n"/>
      <c r="D88" s="39" t="n"/>
      <c r="E88" s="39" t="n"/>
      <c r="F88" s="39" t="n"/>
      <c r="G88" s="53" t="n"/>
    </row>
    <row r="89" outlineLevel="1" ht="15.75" customHeight="1" s="37">
      <c r="A89" s="40" t="inlineStr">
        <is>
          <t>Week Total</t>
        </is>
      </c>
      <c r="B89" s="39" t="n"/>
      <c r="C89" s="39" t="n"/>
      <c r="D89" s="39" t="n"/>
      <c r="E89" s="31" t="n"/>
      <c r="F89" s="32">
        <f>SUM(F86:F88)</f>
        <v/>
      </c>
      <c r="G89" s="33">
        <f>F89/60</f>
        <v/>
      </c>
    </row>
    <row r="90" outlineLevel="1" ht="15.75" customHeight="1" s="37"/>
    <row r="91" outlineLevel="1" ht="15.75" customHeight="1" s="37">
      <c r="A91" s="38" t="inlineStr">
        <is>
          <t>WEEK 12 — FROM FEEDBACK TO FINAL   |   Refinement</t>
        </is>
      </c>
      <c r="B91" s="39" t="n"/>
      <c r="C91" s="39" t="n"/>
      <c r="D91" s="39" t="n"/>
      <c r="E91" s="39" t="n"/>
      <c r="F91" s="39" t="n"/>
      <c r="G91" s="39" t="n"/>
    </row>
    <row r="92" ht="15.75" customHeight="1" s="37">
      <c r="A92" s="35" t="n"/>
      <c r="B92" s="39" t="n"/>
      <c r="C92" s="39" t="n"/>
      <c r="D92" s="53" t="n"/>
      <c r="E92" s="35" t="n"/>
      <c r="F92" s="35" t="n"/>
      <c r="G92" s="35" t="n"/>
    </row>
    <row r="93" ht="15.75" customHeight="1" s="37">
      <c r="A93" s="36" t="n"/>
      <c r="B93" s="36" t="n"/>
      <c r="C93" s="36" t="inlineStr">
        <is>
          <t>[Activity to be added]</t>
        </is>
      </c>
      <c r="D93" s="36" t="n"/>
      <c r="E93" s="36" t="n"/>
      <c r="F93" s="36" t="n"/>
      <c r="G93" s="36" t="n"/>
    </row>
    <row r="94" ht="19.5" customHeight="1" s="37">
      <c r="A94" s="35" t="n"/>
      <c r="B94" s="39" t="n"/>
      <c r="C94" s="39" t="n"/>
      <c r="D94" s="39" t="n"/>
      <c r="E94" s="39" t="n"/>
      <c r="F94" s="39" t="n"/>
      <c r="G94" s="53" t="n"/>
    </row>
    <row r="95" outlineLevel="1" ht="15.75" customHeight="1" s="37">
      <c r="A95" s="40" t="inlineStr">
        <is>
          <t>Week Total</t>
        </is>
      </c>
      <c r="B95" s="39" t="n"/>
      <c r="C95" s="39" t="n"/>
      <c r="D95" s="39" t="n"/>
      <c r="E95" s="31" t="n"/>
      <c r="F95" s="32">
        <f>SUM(F92:F94)</f>
        <v/>
      </c>
      <c r="G95" s="33">
        <f>F95/60</f>
        <v/>
      </c>
    </row>
    <row r="96" outlineLevel="1" ht="15.75" customHeight="1" s="37"/>
    <row r="97" outlineLevel="1" ht="15.75" customHeight="1" s="37">
      <c r="A97" s="38" t="inlineStr">
        <is>
          <t>WEEK 13 — FINALIZING DELIVERABLES   |   Integration</t>
        </is>
      </c>
      <c r="B97" s="39" t="n"/>
      <c r="C97" s="39" t="n"/>
      <c r="D97" s="39" t="n"/>
      <c r="E97" s="39" t="n"/>
      <c r="F97" s="39" t="n"/>
      <c r="G97" s="39" t="n"/>
    </row>
    <row r="98" ht="15.75" customHeight="1" s="37">
      <c r="A98" s="35" t="n"/>
      <c r="B98" s="39" t="n"/>
      <c r="C98" s="39" t="n"/>
      <c r="D98" s="53" t="n"/>
      <c r="E98" s="35" t="n"/>
      <c r="F98" s="35" t="n"/>
      <c r="G98" s="35" t="n"/>
    </row>
    <row r="99" ht="15.75" customHeight="1" s="37">
      <c r="A99" s="36" t="n"/>
      <c r="B99" s="36" t="n"/>
      <c r="C99" s="36" t="inlineStr">
        <is>
          <t>[Activity to be added]</t>
        </is>
      </c>
      <c r="D99" s="36" t="n"/>
      <c r="E99" s="36" t="n"/>
      <c r="F99" s="36" t="n"/>
      <c r="G99" s="36" t="n"/>
    </row>
    <row r="100" ht="19.5" customHeight="1" s="37">
      <c r="A100" s="35" t="n"/>
      <c r="B100" s="39" t="n"/>
      <c r="C100" s="39" t="n"/>
      <c r="D100" s="39" t="n"/>
      <c r="E100" s="39" t="n"/>
      <c r="F100" s="39" t="n"/>
      <c r="G100" s="53" t="n"/>
    </row>
    <row r="101" outlineLevel="1" ht="15.75" customHeight="1" s="37">
      <c r="A101" s="40" t="inlineStr">
        <is>
          <t>Week Total</t>
        </is>
      </c>
      <c r="B101" s="39" t="n"/>
      <c r="C101" s="39" t="n"/>
      <c r="D101" s="39" t="n"/>
      <c r="E101" s="31" t="n"/>
      <c r="F101" s="32">
        <f>SUM(F98:F100)</f>
        <v/>
      </c>
      <c r="G101" s="33">
        <f>F101/60</f>
        <v/>
      </c>
    </row>
    <row r="102" outlineLevel="1" ht="15.75" customHeight="1" s="37"/>
    <row r="103" outlineLevel="1" ht="15.75" customHeight="1" s="37">
      <c r="A103" s="38" t="inlineStr">
        <is>
          <t>WEEK 14 — PRESENTING YOUR WORK   |   Integration</t>
        </is>
      </c>
      <c r="B103" s="39" t="n"/>
      <c r="C103" s="39" t="n"/>
      <c r="D103" s="39" t="n"/>
      <c r="E103" s="39" t="n"/>
      <c r="F103" s="39" t="n"/>
      <c r="G103" s="39" t="n"/>
    </row>
    <row r="104" ht="15.75" customHeight="1" s="37">
      <c r="A104" s="35" t="n"/>
      <c r="B104" s="39" t="n"/>
      <c r="C104" s="39" t="n"/>
      <c r="D104" s="53" t="n"/>
      <c r="E104" s="35" t="n"/>
      <c r="F104" s="35" t="n"/>
      <c r="G104" s="35" t="n"/>
    </row>
    <row r="105" ht="15.75" customHeight="1" s="37">
      <c r="A105" s="36" t="n"/>
      <c r="B105" s="36" t="n"/>
      <c r="C105" s="36" t="inlineStr">
        <is>
          <t>[Activity to be added]</t>
        </is>
      </c>
      <c r="D105" s="36" t="n"/>
      <c r="E105" s="36" t="n"/>
      <c r="F105" s="36" t="n"/>
      <c r="G105" s="36" t="n"/>
    </row>
    <row r="106" ht="19.5" customHeight="1" s="37">
      <c r="A106" s="35" t="n"/>
      <c r="B106" s="39" t="n"/>
      <c r="C106" s="39" t="n"/>
      <c r="D106" s="39" t="n"/>
      <c r="E106" s="39" t="n"/>
      <c r="F106" s="39" t="n"/>
      <c r="G106" s="53" t="n"/>
    </row>
    <row r="107" outlineLevel="1" ht="15.75" customHeight="1" s="37">
      <c r="A107" s="40" t="inlineStr">
        <is>
          <t>Week Total</t>
        </is>
      </c>
      <c r="B107" s="39" t="n"/>
      <c r="C107" s="39" t="n"/>
      <c r="D107" s="39" t="n"/>
      <c r="E107" s="31" t="n"/>
      <c r="F107" s="32">
        <f>SUM(F104:F106)</f>
        <v/>
      </c>
      <c r="G107" s="33">
        <f>F107/60</f>
        <v/>
      </c>
    </row>
    <row r="108" outlineLevel="1" ht="15.75" customHeight="1" s="37"/>
    <row r="109" outlineLevel="1" ht="15.75" customHeight="1" s="37">
      <c r="A109" s="38" t="inlineStr">
        <is>
          <t>WEEK 15 — TRANSFER AND WHAT'S NEXT   |   Integration</t>
        </is>
      </c>
      <c r="B109" s="39" t="n"/>
      <c r="C109" s="39" t="n"/>
      <c r="D109" s="39" t="n"/>
      <c r="E109" s="39" t="n"/>
      <c r="F109" s="39" t="n"/>
      <c r="G109" s="39" t="n"/>
    </row>
    <row r="110" ht="15.75" customHeight="1" s="37">
      <c r="A110" s="35" t="n"/>
      <c r="B110" s="39" t="n"/>
      <c r="C110" s="39" t="n"/>
      <c r="D110" s="53" t="n"/>
      <c r="E110" s="35" t="n"/>
      <c r="F110" s="35" t="n"/>
      <c r="G110" s="35" t="n"/>
    </row>
    <row r="111" ht="15.75" customHeight="1" s="37">
      <c r="A111" s="36" t="n"/>
      <c r="B111" s="36" t="n"/>
      <c r="C111" s="36" t="inlineStr">
        <is>
          <t>[Activity to be added]</t>
        </is>
      </c>
      <c r="D111" s="36" t="n"/>
      <c r="E111" s="36" t="n"/>
      <c r="F111" s="36" t="n"/>
      <c r="G111" s="36" t="n"/>
    </row>
    <row r="112" ht="15.75" customHeight="1" s="37">
      <c r="A112" s="35" t="n"/>
      <c r="B112" s="35" t="n"/>
      <c r="C112" s="35" t="inlineStr">
        <is>
          <t>[Activity to be added]</t>
        </is>
      </c>
      <c r="D112" s="35" t="n"/>
      <c r="E112" s="35" t="n"/>
      <c r="F112" s="35" t="n"/>
      <c r="G112" s="35" t="n"/>
    </row>
    <row r="113" ht="15.75" customHeight="1" s="37">
      <c r="A113" s="40" t="inlineStr">
        <is>
          <t>Week Total</t>
        </is>
      </c>
      <c r="B113" s="39" t="n"/>
      <c r="C113" s="39" t="n"/>
      <c r="D113" s="39" t="n"/>
      <c r="E113" s="31" t="n"/>
      <c r="F113" s="32">
        <f>SUM(F110:F112)</f>
        <v/>
      </c>
      <c r="G113" s="33">
        <f>F113/60</f>
        <v/>
      </c>
    </row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  <row r="1001" ht="15.75" customHeight="1" s="37"/>
    <row r="1002" ht="15.75" customHeight="1" s="37"/>
  </sheetData>
  <mergeCells count="30">
    <mergeCell ref="A106:G106"/>
    <mergeCell ref="A35:D35"/>
    <mergeCell ref="A62:D62"/>
    <mergeCell ref="A38:D38"/>
    <mergeCell ref="A100:G100"/>
    <mergeCell ref="A20:G20"/>
    <mergeCell ref="A52:G52"/>
    <mergeCell ref="A68:D68"/>
    <mergeCell ref="A44:D44"/>
    <mergeCell ref="A58:G58"/>
    <mergeCell ref="A40:G40"/>
    <mergeCell ref="A92:D92"/>
    <mergeCell ref="A64:G64"/>
    <mergeCell ref="A82:G82"/>
    <mergeCell ref="A98:D98"/>
    <mergeCell ref="A110:D110"/>
    <mergeCell ref="A1:G1"/>
    <mergeCell ref="A94:G94"/>
    <mergeCell ref="A70:G70"/>
    <mergeCell ref="A88:G88"/>
    <mergeCell ref="A46:G46"/>
    <mergeCell ref="A80:D80"/>
    <mergeCell ref="A18:D18"/>
    <mergeCell ref="A56:D56"/>
    <mergeCell ref="A74:D74"/>
    <mergeCell ref="A3:G3"/>
    <mergeCell ref="A50:D50"/>
    <mergeCell ref="A86:D86"/>
    <mergeCell ref="A104:D104"/>
    <mergeCell ref="A76:G76"/>
  </mergeCells>
  <pageMargins left="0.75" right="0.75" top="1" bottom="1" header="0" footer="0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2026-02-23T17:45:26Z</dcterms:created>
  <dcterms:modified xmlns:dcterms="http://purl.org/dc/terms/" xmlns:xsi="http://www.w3.org/2001/XMLSchema-instance" xsi:type="dcterms:W3CDTF">2026-02-23T17:47:13Z</dcterms:modified>
</cp:coreProperties>
</file>